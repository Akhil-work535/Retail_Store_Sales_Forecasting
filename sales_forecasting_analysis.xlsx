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ka\OneDrive\Documents\My_projetcs\project_3\"/>
    </mc:Choice>
  </mc:AlternateContent>
  <xr:revisionPtr revIDLastSave="0" documentId="8_{D332BBEC-337F-47C1-A9B1-E2F725553D29}" xr6:coauthVersionLast="47" xr6:coauthVersionMax="47" xr10:uidLastSave="{00000000-0000-0000-0000-000000000000}"/>
  <bookViews>
    <workbookView xWindow="-108" yWindow="-108" windowWidth="23256" windowHeight="13176" activeTab="3" xr2:uid="{C42E1074-80CD-40CE-82C6-7B2AFA28CF0F}"/>
  </bookViews>
  <sheets>
    <sheet name="monthly_sales" sheetId="2" r:id="rId1"/>
    <sheet name="holiday_non_holiday_sales" sheetId="3" r:id="rId2"/>
    <sheet name="sales_by_store" sheetId="4" r:id="rId3"/>
    <sheet name="KPI_summary" sheetId="1" r:id="rId4"/>
    <sheet name="Dashboard" sheetId="5" r:id="rId5"/>
  </sheets>
  <definedNames>
    <definedName name="ExternalData_1" localSheetId="1" hidden="1">holiday_non_holiday_sales!$A$1:$C$3</definedName>
    <definedName name="ExternalData_1" localSheetId="0" hidden="1">monthly_sales!$A$1:$B$34</definedName>
    <definedName name="ExternalData_1" localSheetId="2" hidden="1">sales_by_store!$A$1:$B$46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6" i="1"/>
  <c r="B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D7078E-10BA-470A-AE97-85F608638AD3}" keepAlive="1" name="Query - holiday_non_holiday_sales" description="Connection to the 'holiday_non_holiday_sales' query in the workbook." type="5" refreshedVersion="8" background="1" saveData="1">
    <dbPr connection="Provider=Microsoft.Mashup.OleDb.1;Data Source=$Workbook$;Location=holiday_non_holiday_sales;Extended Properties=&quot;&quot;" command="SELECT * FROM [holiday_non_holiday_sales]"/>
  </connection>
  <connection id="2" xr16:uid="{5B174477-8AB6-4585-B98A-0B9462839479}" keepAlive="1" name="Query - monthly_sales" description="Connection to the 'monthly_sales' query in the workbook." type="5" refreshedVersion="8" background="1" saveData="1">
    <dbPr connection="Provider=Microsoft.Mashup.OleDb.1;Data Source=$Workbook$;Location=monthly_sales;Extended Properties=&quot;&quot;" command="SELECT * FROM [monthly_sales]"/>
  </connection>
  <connection id="3" xr16:uid="{8A8AB33A-15B5-402F-A56A-6704F5C9EB1E}" keepAlive="1" name="Query - sales_by_store" description="Connection to the 'sales_by_store' query in the workbook." type="5" refreshedVersion="8" background="1" saveData="1">
    <dbPr connection="Provider=Microsoft.Mashup.OleDb.1;Data Source=$Workbook$;Location=sales_by_store;Extended Properties=&quot;&quot;" command="SELECT * FROM [sales_by_store]"/>
  </connection>
</connections>
</file>

<file path=xl/sharedStrings.xml><?xml version="1.0" encoding="utf-8"?>
<sst xmlns="http://schemas.openxmlformats.org/spreadsheetml/2006/main" count="13" uniqueCount="12">
  <si>
    <t>month</t>
  </si>
  <si>
    <t>monthly_sales</t>
  </si>
  <si>
    <t>Holiday_Flag</t>
  </si>
  <si>
    <t>total_sales</t>
  </si>
  <si>
    <t>avg_weekly_sales</t>
  </si>
  <si>
    <t>Store</t>
  </si>
  <si>
    <t>walmart sales KPI summary</t>
  </si>
  <si>
    <t>Total Sales</t>
  </si>
  <si>
    <t>Average Monthly Sales</t>
  </si>
  <si>
    <t>Holiday Sales %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</si>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</sst>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sales_by_store!$A$1</c:f>
              <c:strCache>
                <c:ptCount val="1"/>
                <c:pt idx="0">
                  <c:v>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sales_by_store!$A$2:$A$46</c:f>
              <c:numCache>
                <c:formatCode>General</c:formatCode>
                <c:ptCount val="45"/>
                <c:pt idx="0">
                  <c:v>20</c:v>
                </c:pt>
                <c:pt idx="1">
                  <c:v>4</c:v>
                </c:pt>
                <c:pt idx="2">
                  <c:v>14</c:v>
                </c:pt>
                <c:pt idx="3">
                  <c:v>13</c:v>
                </c:pt>
                <c:pt idx="4">
                  <c:v>2</c:v>
                </c:pt>
                <c:pt idx="5">
                  <c:v>10</c:v>
                </c:pt>
                <c:pt idx="6">
                  <c:v>27</c:v>
                </c:pt>
                <c:pt idx="7">
                  <c:v>6</c:v>
                </c:pt>
                <c:pt idx="8">
                  <c:v>1</c:v>
                </c:pt>
                <c:pt idx="9">
                  <c:v>39</c:v>
                </c:pt>
                <c:pt idx="10">
                  <c:v>19</c:v>
                </c:pt>
                <c:pt idx="11">
                  <c:v>31</c:v>
                </c:pt>
                <c:pt idx="12">
                  <c:v>23</c:v>
                </c:pt>
                <c:pt idx="13">
                  <c:v>24</c:v>
                </c:pt>
                <c:pt idx="14">
                  <c:v>11</c:v>
                </c:pt>
                <c:pt idx="15">
                  <c:v>28</c:v>
                </c:pt>
                <c:pt idx="16">
                  <c:v>41</c:v>
                </c:pt>
                <c:pt idx="17">
                  <c:v>32</c:v>
                </c:pt>
                <c:pt idx="18">
                  <c:v>18</c:v>
                </c:pt>
                <c:pt idx="19">
                  <c:v>22</c:v>
                </c:pt>
                <c:pt idx="20">
                  <c:v>12</c:v>
                </c:pt>
                <c:pt idx="21">
                  <c:v>26</c:v>
                </c:pt>
                <c:pt idx="22">
                  <c:v>34</c:v>
                </c:pt>
                <c:pt idx="23">
                  <c:v>40</c:v>
                </c:pt>
                <c:pt idx="24">
                  <c:v>35</c:v>
                </c:pt>
                <c:pt idx="25">
                  <c:v>8</c:v>
                </c:pt>
                <c:pt idx="26">
                  <c:v>17</c:v>
                </c:pt>
                <c:pt idx="27">
                  <c:v>45</c:v>
                </c:pt>
                <c:pt idx="28">
                  <c:v>21</c:v>
                </c:pt>
                <c:pt idx="29">
                  <c:v>25</c:v>
                </c:pt>
                <c:pt idx="30">
                  <c:v>43</c:v>
                </c:pt>
                <c:pt idx="31">
                  <c:v>15</c:v>
                </c:pt>
                <c:pt idx="32">
                  <c:v>7</c:v>
                </c:pt>
                <c:pt idx="33">
                  <c:v>42</c:v>
                </c:pt>
                <c:pt idx="34">
                  <c:v>9</c:v>
                </c:pt>
                <c:pt idx="35">
                  <c:v>29</c:v>
                </c:pt>
                <c:pt idx="36">
                  <c:v>16</c:v>
                </c:pt>
                <c:pt idx="37">
                  <c:v>37</c:v>
                </c:pt>
                <c:pt idx="38">
                  <c:v>30</c:v>
                </c:pt>
                <c:pt idx="39">
                  <c:v>3</c:v>
                </c:pt>
                <c:pt idx="40">
                  <c:v>38</c:v>
                </c:pt>
                <c:pt idx="41">
                  <c:v>36</c:v>
                </c:pt>
                <c:pt idx="42">
                  <c:v>5</c:v>
                </c:pt>
                <c:pt idx="43">
                  <c:v>44</c:v>
                </c:pt>
                <c:pt idx="4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3-40A6-BCEE-34A78D386305}"/>
            </c:ext>
          </c:extLst>
        </c:ser>
        <c:ser>
          <c:idx val="1"/>
          <c:order val="1"/>
          <c:tx>
            <c:strRef>
              <c:f>sales_by_store!$B$1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sales_by_store!$B$2:$B$46</c:f>
              <c:numCache>
                <c:formatCode>General</c:formatCode>
                <c:ptCount val="45"/>
                <c:pt idx="0">
                  <c:v>301397792.45999998</c:v>
                </c:pt>
                <c:pt idx="1">
                  <c:v>299543953.38</c:v>
                </c:pt>
                <c:pt idx="2">
                  <c:v>288999911.33999997</c:v>
                </c:pt>
                <c:pt idx="3">
                  <c:v>286517703.80000001</c:v>
                </c:pt>
                <c:pt idx="4">
                  <c:v>275382440.98000002</c:v>
                </c:pt>
                <c:pt idx="5">
                  <c:v>271617713.88999999</c:v>
                </c:pt>
                <c:pt idx="6">
                  <c:v>253855916.88</c:v>
                </c:pt>
                <c:pt idx="7">
                  <c:v>223756130.63999999</c:v>
                </c:pt>
                <c:pt idx="8">
                  <c:v>222402808.84999999</c:v>
                </c:pt>
                <c:pt idx="9">
                  <c:v>207445542.47</c:v>
                </c:pt>
                <c:pt idx="10">
                  <c:v>206634862.09999999</c:v>
                </c:pt>
                <c:pt idx="11">
                  <c:v>199613905.5</c:v>
                </c:pt>
                <c:pt idx="12">
                  <c:v>198750617.84999999</c:v>
                </c:pt>
                <c:pt idx="13">
                  <c:v>194016021.28</c:v>
                </c:pt>
                <c:pt idx="14">
                  <c:v>193962786.80000001</c:v>
                </c:pt>
                <c:pt idx="15">
                  <c:v>189263680.58000001</c:v>
                </c:pt>
                <c:pt idx="16">
                  <c:v>181341934.88999999</c:v>
                </c:pt>
                <c:pt idx="17">
                  <c:v>166819246.16</c:v>
                </c:pt>
                <c:pt idx="18">
                  <c:v>155114734.21000001</c:v>
                </c:pt>
                <c:pt idx="19">
                  <c:v>147075648.56999999</c:v>
                </c:pt>
                <c:pt idx="20">
                  <c:v>144287230.15000001</c:v>
                </c:pt>
                <c:pt idx="21">
                  <c:v>143416393.78999999</c:v>
                </c:pt>
                <c:pt idx="22">
                  <c:v>138249763</c:v>
                </c:pt>
                <c:pt idx="23">
                  <c:v>137870309.78999999</c:v>
                </c:pt>
                <c:pt idx="24">
                  <c:v>131520672.08</c:v>
                </c:pt>
                <c:pt idx="25">
                  <c:v>129951181.13</c:v>
                </c:pt>
                <c:pt idx="26">
                  <c:v>127782138.83</c:v>
                </c:pt>
                <c:pt idx="27">
                  <c:v>112395341.42</c:v>
                </c:pt>
                <c:pt idx="28">
                  <c:v>108117878.92</c:v>
                </c:pt>
                <c:pt idx="29">
                  <c:v>101061179.17</c:v>
                </c:pt>
                <c:pt idx="30">
                  <c:v>90565435.409999996</c:v>
                </c:pt>
                <c:pt idx="31">
                  <c:v>89133683.920000002</c:v>
                </c:pt>
                <c:pt idx="32">
                  <c:v>81598275.140000001</c:v>
                </c:pt>
                <c:pt idx="33">
                  <c:v>79565752.430000007</c:v>
                </c:pt>
                <c:pt idx="34">
                  <c:v>77789218.989999995</c:v>
                </c:pt>
                <c:pt idx="35">
                  <c:v>77141554.310000002</c:v>
                </c:pt>
                <c:pt idx="36">
                  <c:v>74252425.400000006</c:v>
                </c:pt>
                <c:pt idx="37">
                  <c:v>74202740.319999993</c:v>
                </c:pt>
                <c:pt idx="38">
                  <c:v>62716885.119999997</c:v>
                </c:pt>
                <c:pt idx="39">
                  <c:v>57586735.07</c:v>
                </c:pt>
                <c:pt idx="40">
                  <c:v>55159626.420000002</c:v>
                </c:pt>
                <c:pt idx="41">
                  <c:v>53412214.969999999</c:v>
                </c:pt>
                <c:pt idx="42">
                  <c:v>45475688.899999999</c:v>
                </c:pt>
                <c:pt idx="43">
                  <c:v>43293087.840000004</c:v>
                </c:pt>
                <c:pt idx="44">
                  <c:v>37160221.960000001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43-40A6-BCEE-34A78D386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152223"/>
        <c:axId val="633148863"/>
      </c:barChart>
      <c:catAx>
        <c:axId val="633152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148863"/>
        <c:crosses val="autoZero"/>
        <c:auto val="1"/>
        <c:lblAlgn val="ctr"/>
        <c:lblOffset val="100"/>
        <c:noMultiLvlLbl val="0"/>
      </c:catAx>
      <c:valAx>
        <c:axId val="63314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152223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555555555555555E-2"/>
                <c:y val="0.41245370370370371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monthly_sales!$B$1</c:f>
              <c:strCache>
                <c:ptCount val="1"/>
                <c:pt idx="0">
                  <c:v>monthly_sales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monthly_sales!$A$2:$A$34</c:f>
              <c:numCache>
                <c:formatCode>m/d/yyyy</c:formatCode>
                <c:ptCount val="33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</c:numCache>
            </c:numRef>
          </c:cat>
          <c:val>
            <c:numRef>
              <c:f>monthly_sales!$B$2:$B$34</c:f>
              <c:numCache>
                <c:formatCode>General</c:formatCode>
                <c:ptCount val="33"/>
                <c:pt idx="0">
                  <c:v>190332983.03999999</c:v>
                </c:pt>
                <c:pt idx="1">
                  <c:v>181919802.5</c:v>
                </c:pt>
                <c:pt idx="2">
                  <c:v>231412368.05000001</c:v>
                </c:pt>
                <c:pt idx="3">
                  <c:v>186710934.34</c:v>
                </c:pt>
                <c:pt idx="4">
                  <c:v>192246172.36000001</c:v>
                </c:pt>
                <c:pt idx="5">
                  <c:v>232580125.97999999</c:v>
                </c:pt>
                <c:pt idx="6">
                  <c:v>187640110.88999999</c:v>
                </c:pt>
                <c:pt idx="7">
                  <c:v>177267896.37</c:v>
                </c:pt>
                <c:pt idx="8">
                  <c:v>217161824.02000001</c:v>
                </c:pt>
                <c:pt idx="9">
                  <c:v>202853370.13999999</c:v>
                </c:pt>
                <c:pt idx="10">
                  <c:v>288760532.72000003</c:v>
                </c:pt>
                <c:pt idx="11">
                  <c:v>163703966.83000001</c:v>
                </c:pt>
                <c:pt idx="12">
                  <c:v>186331327.87</c:v>
                </c:pt>
                <c:pt idx="13">
                  <c:v>179356448.28999999</c:v>
                </c:pt>
                <c:pt idx="14">
                  <c:v>226526510.97</c:v>
                </c:pt>
                <c:pt idx="15">
                  <c:v>181648158.16</c:v>
                </c:pt>
                <c:pt idx="16">
                  <c:v>189773385.19</c:v>
                </c:pt>
                <c:pt idx="17">
                  <c:v>229911398.87</c:v>
                </c:pt>
                <c:pt idx="18">
                  <c:v>188599332.25</c:v>
                </c:pt>
                <c:pt idx="19">
                  <c:v>220847738.41999999</c:v>
                </c:pt>
                <c:pt idx="20">
                  <c:v>183261283.15000001</c:v>
                </c:pt>
                <c:pt idx="21">
                  <c:v>210162354.87</c:v>
                </c:pt>
                <c:pt idx="22">
                  <c:v>288078102.48000002</c:v>
                </c:pt>
                <c:pt idx="23">
                  <c:v>168894471.66</c:v>
                </c:pt>
                <c:pt idx="24">
                  <c:v>192063579.53999999</c:v>
                </c:pt>
                <c:pt idx="25">
                  <c:v>231509650.49000001</c:v>
                </c:pt>
                <c:pt idx="26">
                  <c:v>188920905.94999999</c:v>
                </c:pt>
                <c:pt idx="27">
                  <c:v>188766479.44999999</c:v>
                </c:pt>
                <c:pt idx="28">
                  <c:v>240610329.28999999</c:v>
                </c:pt>
                <c:pt idx="29">
                  <c:v>187509452.40000001</c:v>
                </c:pt>
                <c:pt idx="30">
                  <c:v>236850765.68000001</c:v>
                </c:pt>
                <c:pt idx="31">
                  <c:v>180645544.47</c:v>
                </c:pt>
                <c:pt idx="32">
                  <c:v>184361680.41999999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A4-441C-A9B4-B4832FF9E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8426495"/>
        <c:axId val="728424575"/>
      </c:lineChart>
      <c:dateAx>
        <c:axId val="72842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424575"/>
        <c:crosses val="autoZero"/>
        <c:auto val="1"/>
        <c:lblOffset val="100"/>
        <c:baseTimeUnit val="months"/>
      </c:dateAx>
      <c:valAx>
        <c:axId val="72842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426495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7777777777777776E-2"/>
                <c:y val="0.39856481481481482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8</xdr:row>
      <xdr:rowOff>0</xdr:rowOff>
    </xdr:from>
    <xdr:to>
      <xdr:col>16</xdr:col>
      <xdr:colOff>419100</xdr:colOff>
      <xdr:row>23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60D9C78-D03D-6763-E37D-E19233F9C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213360</xdr:colOff>
      <xdr:row>8</xdr:row>
      <xdr:rowOff>7620</xdr:rowOff>
    </xdr:from>
    <xdr:to>
      <xdr:col>8</xdr:col>
      <xdr:colOff>518160</xdr:colOff>
      <xdr:row>23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BF4447-5B73-668F-0837-83D7340C6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D81DEC8-B801-4FCE-A1B0-04E8F1217E1E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monthly_sale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251AC8-2C8E-4BE5-9CD6-1E1DC44CA1E7}" autoFormatId="16" applyNumberFormats="0" applyBorderFormats="0" applyFontFormats="0" applyPatternFormats="0" applyAlignmentFormats="0" applyWidthHeightFormats="0">
  <queryTableRefresh nextId="4">
    <queryTableFields count="3">
      <queryTableField id="1" name="Holiday_Flag" tableColumnId="1"/>
      <queryTableField id="2" name="total_sales" tableColumnId="2"/>
      <queryTableField id="3" name="avg_weekly_sale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B4CD078-3A24-4286-B0AE-0F6F506B386B}" autoFormatId="16" applyNumberFormats="0" applyBorderFormats="0" applyFontFormats="0" applyPatternFormats="0" applyAlignmentFormats="0" applyWidthHeightFormats="0">
  <queryTableRefresh nextId="3">
    <queryTableFields count="2">
      <queryTableField id="1" name="Store" tableColumnId="1"/>
      <queryTableField id="2" name="total_sal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65A2F-789E-4C2B-A2FB-4CD72B7AB145}" name="monthly_sales" displayName="monthly_sales" ref="A1:B34" tableType="queryTable" totalsRowShown="0">
  <tableColumns count="2">
    <tableColumn id="1" xr3:uid="{FBD2E3D3-D5B4-4F5F-BBFA-B8ABFEB0723C}" uniqueName="1" name="month" queryTableFieldId="1" dataDxfId="0"/>
    <tableColumn id="2" xr3:uid="{425FDE9E-6991-411F-A0CC-4EC64333B6E8}" uniqueName="2" name="monthly_sale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B630F7-ED84-44BE-B9D8-F14C280577DC}" name="holiday_non_holiday_sales" displayName="holiday_non_holiday_sales" ref="A1:C3" tableType="queryTable" totalsRowShown="0">
  <tableColumns count="3">
    <tableColumn id="1" xr3:uid="{24C121E4-C4B8-45CA-9D13-ABB951CA7509}" uniqueName="1" name="Holiday_Flag" queryTableFieldId="1"/>
    <tableColumn id="2" xr3:uid="{1F32DBBE-90EE-41D3-BBA7-48D7844AFA17}" uniqueName="2" name="total_sales" queryTableFieldId="2"/>
    <tableColumn id="3" xr3:uid="{3562009B-AE09-468F-9B33-8E7605499DDD}" uniqueName="3" name="avg_weekly_sale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72501C-9E04-47D4-A213-B8B9EF1BF33A}" name="sales_by_store" displayName="sales_by_store" ref="A1:B46" tableType="queryTable" totalsRowShown="0">
  <tableColumns count="2">
    <tableColumn id="1" xr3:uid="{D29EC999-8D13-4652-BFE5-EAFB10B781A0}" uniqueName="1" name="Store" queryTableFieldId="1"/>
    <tableColumn id="2" xr3:uid="{D500D144-3193-4C2D-BE3E-6C94123C562A}" uniqueName="2" name="total_sale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726F42-1B17-4E57-A36F-669AD24245B9}" name="Table5" displayName="Table5" ref="A3:B6" totalsRowShown="0">
  <tableColumns count="2">
    <tableColumn id="1" xr3:uid="{8F0CF881-7DA4-4E8B-BA0C-3C2EA4D3277D}" name="Column1"/>
    <tableColumn id="2" xr3:uid="{455F4169-82C1-4B0C-8236-86B05C7E644C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D87E-4067-4702-A63E-A70DAFF4A673}">
  <dimension ref="A1:B34"/>
  <sheetViews>
    <sheetView workbookViewId="0">
      <selection activeCell="B1" activeCellId="1" sqref="A1:A1048576 B1:B1048576"/>
    </sheetView>
  </sheetViews>
  <sheetFormatPr defaultRowHeight="14.4" x14ac:dyDescent="0.3"/>
  <cols>
    <col min="1" max="1" width="10.33203125" bestFit="1" customWidth="1"/>
    <col min="2" max="2" width="15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40210</v>
      </c>
      <c r="B2">
        <v>190332983.03999999</v>
      </c>
    </row>
    <row r="3" spans="1:2" x14ac:dyDescent="0.3">
      <c r="A3" s="1">
        <v>40238</v>
      </c>
      <c r="B3">
        <v>181919802.5</v>
      </c>
    </row>
    <row r="4" spans="1:2" x14ac:dyDescent="0.3">
      <c r="A4" s="1">
        <v>40269</v>
      </c>
      <c r="B4">
        <v>231412368.05000001</v>
      </c>
    </row>
    <row r="5" spans="1:2" x14ac:dyDescent="0.3">
      <c r="A5" s="1">
        <v>40299</v>
      </c>
      <c r="B5">
        <v>186710934.34</v>
      </c>
    </row>
    <row r="6" spans="1:2" x14ac:dyDescent="0.3">
      <c r="A6" s="1">
        <v>40330</v>
      </c>
      <c r="B6">
        <v>192246172.36000001</v>
      </c>
    </row>
    <row r="7" spans="1:2" x14ac:dyDescent="0.3">
      <c r="A7" s="1">
        <v>40360</v>
      </c>
      <c r="B7">
        <v>232580125.97999999</v>
      </c>
    </row>
    <row r="8" spans="1:2" x14ac:dyDescent="0.3">
      <c r="A8" s="1">
        <v>40391</v>
      </c>
      <c r="B8">
        <v>187640110.88999999</v>
      </c>
    </row>
    <row r="9" spans="1:2" x14ac:dyDescent="0.3">
      <c r="A9" s="1">
        <v>40422</v>
      </c>
      <c r="B9">
        <v>177267896.37</v>
      </c>
    </row>
    <row r="10" spans="1:2" x14ac:dyDescent="0.3">
      <c r="A10" s="1">
        <v>40452</v>
      </c>
      <c r="B10">
        <v>217161824.02000001</v>
      </c>
    </row>
    <row r="11" spans="1:2" x14ac:dyDescent="0.3">
      <c r="A11" s="1">
        <v>40483</v>
      </c>
      <c r="B11">
        <v>202853370.13999999</v>
      </c>
    </row>
    <row r="12" spans="1:2" x14ac:dyDescent="0.3">
      <c r="A12" s="1">
        <v>40513</v>
      </c>
      <c r="B12">
        <v>288760532.72000003</v>
      </c>
    </row>
    <row r="13" spans="1:2" x14ac:dyDescent="0.3">
      <c r="A13" s="1">
        <v>40544</v>
      </c>
      <c r="B13">
        <v>163703966.83000001</v>
      </c>
    </row>
    <row r="14" spans="1:2" x14ac:dyDescent="0.3">
      <c r="A14" s="1">
        <v>40575</v>
      </c>
      <c r="B14">
        <v>186331327.87</v>
      </c>
    </row>
    <row r="15" spans="1:2" x14ac:dyDescent="0.3">
      <c r="A15" s="1">
        <v>40603</v>
      </c>
      <c r="B15">
        <v>179356448.28999999</v>
      </c>
    </row>
    <row r="16" spans="1:2" x14ac:dyDescent="0.3">
      <c r="A16" s="1">
        <v>40634</v>
      </c>
      <c r="B16">
        <v>226526510.97</v>
      </c>
    </row>
    <row r="17" spans="1:2" x14ac:dyDescent="0.3">
      <c r="A17" s="1">
        <v>40664</v>
      </c>
      <c r="B17">
        <v>181648158.16</v>
      </c>
    </row>
    <row r="18" spans="1:2" x14ac:dyDescent="0.3">
      <c r="A18" s="1">
        <v>40695</v>
      </c>
      <c r="B18">
        <v>189773385.19</v>
      </c>
    </row>
    <row r="19" spans="1:2" x14ac:dyDescent="0.3">
      <c r="A19" s="1">
        <v>40725</v>
      </c>
      <c r="B19">
        <v>229911398.87</v>
      </c>
    </row>
    <row r="20" spans="1:2" x14ac:dyDescent="0.3">
      <c r="A20" s="1">
        <v>40756</v>
      </c>
      <c r="B20">
        <v>188599332.25</v>
      </c>
    </row>
    <row r="21" spans="1:2" x14ac:dyDescent="0.3">
      <c r="A21" s="1">
        <v>40787</v>
      </c>
      <c r="B21">
        <v>220847738.41999999</v>
      </c>
    </row>
    <row r="22" spans="1:2" x14ac:dyDescent="0.3">
      <c r="A22" s="1">
        <v>40817</v>
      </c>
      <c r="B22">
        <v>183261283.15000001</v>
      </c>
    </row>
    <row r="23" spans="1:2" x14ac:dyDescent="0.3">
      <c r="A23" s="1">
        <v>40848</v>
      </c>
      <c r="B23">
        <v>210162354.87</v>
      </c>
    </row>
    <row r="24" spans="1:2" x14ac:dyDescent="0.3">
      <c r="A24" s="1">
        <v>40878</v>
      </c>
      <c r="B24">
        <v>288078102.48000002</v>
      </c>
    </row>
    <row r="25" spans="1:2" x14ac:dyDescent="0.3">
      <c r="A25" s="1">
        <v>40909</v>
      </c>
      <c r="B25">
        <v>168894471.66</v>
      </c>
    </row>
    <row r="26" spans="1:2" x14ac:dyDescent="0.3">
      <c r="A26" s="1">
        <v>40940</v>
      </c>
      <c r="B26">
        <v>192063579.53999999</v>
      </c>
    </row>
    <row r="27" spans="1:2" x14ac:dyDescent="0.3">
      <c r="A27" s="1">
        <v>40969</v>
      </c>
      <c r="B27">
        <v>231509650.49000001</v>
      </c>
    </row>
    <row r="28" spans="1:2" x14ac:dyDescent="0.3">
      <c r="A28" s="1">
        <v>41000</v>
      </c>
      <c r="B28">
        <v>188920905.94999999</v>
      </c>
    </row>
    <row r="29" spans="1:2" x14ac:dyDescent="0.3">
      <c r="A29" s="1">
        <v>41030</v>
      </c>
      <c r="B29">
        <v>188766479.44999999</v>
      </c>
    </row>
    <row r="30" spans="1:2" x14ac:dyDescent="0.3">
      <c r="A30" s="1">
        <v>41061</v>
      </c>
      <c r="B30">
        <v>240610329.28999999</v>
      </c>
    </row>
    <row r="31" spans="1:2" x14ac:dyDescent="0.3">
      <c r="A31" s="1">
        <v>41091</v>
      </c>
      <c r="B31">
        <v>187509452.40000001</v>
      </c>
    </row>
    <row r="32" spans="1:2" x14ac:dyDescent="0.3">
      <c r="A32" s="1">
        <v>41122</v>
      </c>
      <c r="B32">
        <v>236850765.68000001</v>
      </c>
    </row>
    <row r="33" spans="1:2" x14ac:dyDescent="0.3">
      <c r="A33" s="1">
        <v>41153</v>
      </c>
      <c r="B33">
        <v>180645544.47</v>
      </c>
    </row>
    <row r="34" spans="1:2" x14ac:dyDescent="0.3">
      <c r="A34" s="1">
        <v>41183</v>
      </c>
      <c r="B34">
        <v>184361680.41999999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FB40-850E-41B7-8E34-2F32EC32F596}">
  <dimension ref="A1:C3"/>
  <sheetViews>
    <sheetView workbookViewId="0"/>
  </sheetViews>
  <sheetFormatPr defaultRowHeight="14.4" x14ac:dyDescent="0.3"/>
  <cols>
    <col min="1" max="1" width="13.88671875" bestFit="1" customWidth="1"/>
    <col min="2" max="2" width="12.109375" bestFit="1" customWidth="1"/>
    <col min="3" max="3" width="18.21875" bestFit="1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>
        <v>0</v>
      </c>
      <c r="B2">
        <v>6231919435.5500002</v>
      </c>
      <c r="C2">
        <v>1041256.38</v>
      </c>
    </row>
    <row r="3" spans="1:3" x14ac:dyDescent="0.3">
      <c r="A3">
        <v>1</v>
      </c>
      <c r="B3">
        <v>505299551.56</v>
      </c>
      <c r="C3">
        <v>1122887.8899999999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D281-3B7E-44F7-BB6D-F2037D6D6AC2}">
  <dimension ref="A1:B46"/>
  <sheetViews>
    <sheetView workbookViewId="0">
      <selection activeCell="B1" activeCellId="1" sqref="A1:A1048576 B1:B1048576"/>
    </sheetView>
  </sheetViews>
  <sheetFormatPr defaultRowHeight="14.4" x14ac:dyDescent="0.3"/>
  <cols>
    <col min="1" max="1" width="7.6640625" bestFit="1" customWidth="1"/>
    <col min="2" max="2" width="12.109375" bestFit="1" customWidth="1"/>
  </cols>
  <sheetData>
    <row r="1" spans="1:2" x14ac:dyDescent="0.3">
      <c r="A1" t="s">
        <v>5</v>
      </c>
      <c r="B1" t="s">
        <v>3</v>
      </c>
    </row>
    <row r="2" spans="1:2" x14ac:dyDescent="0.3">
      <c r="A2">
        <v>20</v>
      </c>
      <c r="B2">
        <v>301397792.45999998</v>
      </c>
    </row>
    <row r="3" spans="1:2" x14ac:dyDescent="0.3">
      <c r="A3">
        <v>4</v>
      </c>
      <c r="B3">
        <v>299543953.38</v>
      </c>
    </row>
    <row r="4" spans="1:2" x14ac:dyDescent="0.3">
      <c r="A4">
        <v>14</v>
      </c>
      <c r="B4">
        <v>288999911.33999997</v>
      </c>
    </row>
    <row r="5" spans="1:2" x14ac:dyDescent="0.3">
      <c r="A5">
        <v>13</v>
      </c>
      <c r="B5">
        <v>286517703.80000001</v>
      </c>
    </row>
    <row r="6" spans="1:2" x14ac:dyDescent="0.3">
      <c r="A6">
        <v>2</v>
      </c>
      <c r="B6">
        <v>275382440.98000002</v>
      </c>
    </row>
    <row r="7" spans="1:2" x14ac:dyDescent="0.3">
      <c r="A7">
        <v>10</v>
      </c>
      <c r="B7">
        <v>271617713.88999999</v>
      </c>
    </row>
    <row r="8" spans="1:2" x14ac:dyDescent="0.3">
      <c r="A8">
        <v>27</v>
      </c>
      <c r="B8">
        <v>253855916.88</v>
      </c>
    </row>
    <row r="9" spans="1:2" x14ac:dyDescent="0.3">
      <c r="A9">
        <v>6</v>
      </c>
      <c r="B9">
        <v>223756130.63999999</v>
      </c>
    </row>
    <row r="10" spans="1:2" x14ac:dyDescent="0.3">
      <c r="A10">
        <v>1</v>
      </c>
      <c r="B10">
        <v>222402808.84999999</v>
      </c>
    </row>
    <row r="11" spans="1:2" x14ac:dyDescent="0.3">
      <c r="A11">
        <v>39</v>
      </c>
      <c r="B11">
        <v>207445542.47</v>
      </c>
    </row>
    <row r="12" spans="1:2" x14ac:dyDescent="0.3">
      <c r="A12">
        <v>19</v>
      </c>
      <c r="B12">
        <v>206634862.09999999</v>
      </c>
    </row>
    <row r="13" spans="1:2" x14ac:dyDescent="0.3">
      <c r="A13">
        <v>31</v>
      </c>
      <c r="B13">
        <v>199613905.5</v>
      </c>
    </row>
    <row r="14" spans="1:2" x14ac:dyDescent="0.3">
      <c r="A14">
        <v>23</v>
      </c>
      <c r="B14">
        <v>198750617.84999999</v>
      </c>
    </row>
    <row r="15" spans="1:2" x14ac:dyDescent="0.3">
      <c r="A15">
        <v>24</v>
      </c>
      <c r="B15">
        <v>194016021.28</v>
      </c>
    </row>
    <row r="16" spans="1:2" x14ac:dyDescent="0.3">
      <c r="A16">
        <v>11</v>
      </c>
      <c r="B16">
        <v>193962786.80000001</v>
      </c>
    </row>
    <row r="17" spans="1:2" x14ac:dyDescent="0.3">
      <c r="A17">
        <v>28</v>
      </c>
      <c r="B17">
        <v>189263680.58000001</v>
      </c>
    </row>
    <row r="18" spans="1:2" x14ac:dyDescent="0.3">
      <c r="A18">
        <v>41</v>
      </c>
      <c r="B18">
        <v>181341934.88999999</v>
      </c>
    </row>
    <row r="19" spans="1:2" x14ac:dyDescent="0.3">
      <c r="A19">
        <v>32</v>
      </c>
      <c r="B19">
        <v>166819246.16</v>
      </c>
    </row>
    <row r="20" spans="1:2" x14ac:dyDescent="0.3">
      <c r="A20">
        <v>18</v>
      </c>
      <c r="B20">
        <v>155114734.21000001</v>
      </c>
    </row>
    <row r="21" spans="1:2" x14ac:dyDescent="0.3">
      <c r="A21">
        <v>22</v>
      </c>
      <c r="B21">
        <v>147075648.56999999</v>
      </c>
    </row>
    <row r="22" spans="1:2" x14ac:dyDescent="0.3">
      <c r="A22">
        <v>12</v>
      </c>
      <c r="B22">
        <v>144287230.15000001</v>
      </c>
    </row>
    <row r="23" spans="1:2" x14ac:dyDescent="0.3">
      <c r="A23">
        <v>26</v>
      </c>
      <c r="B23">
        <v>143416393.78999999</v>
      </c>
    </row>
    <row r="24" spans="1:2" x14ac:dyDescent="0.3">
      <c r="A24">
        <v>34</v>
      </c>
      <c r="B24">
        <v>138249763</v>
      </c>
    </row>
    <row r="25" spans="1:2" x14ac:dyDescent="0.3">
      <c r="A25">
        <v>40</v>
      </c>
      <c r="B25">
        <v>137870309.78999999</v>
      </c>
    </row>
    <row r="26" spans="1:2" x14ac:dyDescent="0.3">
      <c r="A26">
        <v>35</v>
      </c>
      <c r="B26">
        <v>131520672.08</v>
      </c>
    </row>
    <row r="27" spans="1:2" x14ac:dyDescent="0.3">
      <c r="A27">
        <v>8</v>
      </c>
      <c r="B27">
        <v>129951181.13</v>
      </c>
    </row>
    <row r="28" spans="1:2" x14ac:dyDescent="0.3">
      <c r="A28">
        <v>17</v>
      </c>
      <c r="B28">
        <v>127782138.83</v>
      </c>
    </row>
    <row r="29" spans="1:2" x14ac:dyDescent="0.3">
      <c r="A29">
        <v>45</v>
      </c>
      <c r="B29">
        <v>112395341.42</v>
      </c>
    </row>
    <row r="30" spans="1:2" x14ac:dyDescent="0.3">
      <c r="A30">
        <v>21</v>
      </c>
      <c r="B30">
        <v>108117878.92</v>
      </c>
    </row>
    <row r="31" spans="1:2" x14ac:dyDescent="0.3">
      <c r="A31">
        <v>25</v>
      </c>
      <c r="B31">
        <v>101061179.17</v>
      </c>
    </row>
    <row r="32" spans="1:2" x14ac:dyDescent="0.3">
      <c r="A32">
        <v>43</v>
      </c>
      <c r="B32">
        <v>90565435.409999996</v>
      </c>
    </row>
    <row r="33" spans="1:2" x14ac:dyDescent="0.3">
      <c r="A33">
        <v>15</v>
      </c>
      <c r="B33">
        <v>89133683.920000002</v>
      </c>
    </row>
    <row r="34" spans="1:2" x14ac:dyDescent="0.3">
      <c r="A34">
        <v>7</v>
      </c>
      <c r="B34">
        <v>81598275.140000001</v>
      </c>
    </row>
    <row r="35" spans="1:2" x14ac:dyDescent="0.3">
      <c r="A35">
        <v>42</v>
      </c>
      <c r="B35">
        <v>79565752.430000007</v>
      </c>
    </row>
    <row r="36" spans="1:2" x14ac:dyDescent="0.3">
      <c r="A36">
        <v>9</v>
      </c>
      <c r="B36">
        <v>77789218.989999995</v>
      </c>
    </row>
    <row r="37" spans="1:2" x14ac:dyDescent="0.3">
      <c r="A37">
        <v>29</v>
      </c>
      <c r="B37">
        <v>77141554.310000002</v>
      </c>
    </row>
    <row r="38" spans="1:2" x14ac:dyDescent="0.3">
      <c r="A38">
        <v>16</v>
      </c>
      <c r="B38">
        <v>74252425.400000006</v>
      </c>
    </row>
    <row r="39" spans="1:2" x14ac:dyDescent="0.3">
      <c r="A39">
        <v>37</v>
      </c>
      <c r="B39">
        <v>74202740.319999993</v>
      </c>
    </row>
    <row r="40" spans="1:2" x14ac:dyDescent="0.3">
      <c r="A40">
        <v>30</v>
      </c>
      <c r="B40">
        <v>62716885.119999997</v>
      </c>
    </row>
    <row r="41" spans="1:2" x14ac:dyDescent="0.3">
      <c r="A41">
        <v>3</v>
      </c>
      <c r="B41">
        <v>57586735.07</v>
      </c>
    </row>
    <row r="42" spans="1:2" x14ac:dyDescent="0.3">
      <c r="A42">
        <v>38</v>
      </c>
      <c r="B42">
        <v>55159626.420000002</v>
      </c>
    </row>
    <row r="43" spans="1:2" x14ac:dyDescent="0.3">
      <c r="A43">
        <v>36</v>
      </c>
      <c r="B43">
        <v>53412214.969999999</v>
      </c>
    </row>
    <row r="44" spans="1:2" x14ac:dyDescent="0.3">
      <c r="A44">
        <v>5</v>
      </c>
      <c r="B44">
        <v>45475688.899999999</v>
      </c>
    </row>
    <row r="45" spans="1:2" x14ac:dyDescent="0.3">
      <c r="A45">
        <v>44</v>
      </c>
      <c r="B45">
        <v>43293087.840000004</v>
      </c>
    </row>
    <row r="46" spans="1:2" x14ac:dyDescent="0.3">
      <c r="A46">
        <v>33</v>
      </c>
      <c r="B46">
        <v>37160221.960000001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659B-4107-48C0-8D0D-82654E4CF85F}">
  <dimension ref="A1:B6"/>
  <sheetViews>
    <sheetView tabSelected="1" workbookViewId="0">
      <selection activeCell="B3" sqref="B3"/>
    </sheetView>
  </sheetViews>
  <sheetFormatPr defaultRowHeight="14.4" x14ac:dyDescent="0.3"/>
  <cols>
    <col min="1" max="1" width="31.21875" customWidth="1"/>
    <col min="2" max="2" width="36.5546875" customWidth="1"/>
  </cols>
  <sheetData>
    <row r="1" spans="1:2" ht="23.4" x14ac:dyDescent="0.45">
      <c r="A1" s="2" t="s">
        <v>6</v>
      </c>
    </row>
    <row r="3" spans="1:2" x14ac:dyDescent="0.3">
      <c r="A3" t="s">
        <v>10</v>
      </c>
      <c r="B3" s="5" t="s">
        <v>11</v>
      </c>
    </row>
    <row r="4" spans="1:2" x14ac:dyDescent="0.3">
      <c r="A4" t="s">
        <v>7</v>
      </c>
      <c r="B4" s="4">
        <f>SUM(monthly_sales[monthly_sales])</f>
        <v>6737218987.1099997</v>
      </c>
    </row>
    <row r="5" spans="1:2" x14ac:dyDescent="0.3">
      <c r="A5" t="s">
        <v>8</v>
      </c>
      <c r="B5">
        <f>AVERAGE(monthly_sales[monthly_sales])</f>
        <v>204158151.12454545</v>
      </c>
    </row>
    <row r="6" spans="1:2" x14ac:dyDescent="0.3">
      <c r="A6" t="s">
        <v>9</v>
      </c>
      <c r="B6" s="3">
        <f>SUMIFS(holiday_non_holiday_sales[total_sales], holiday_non_holiday_sales[Holiday_Flag], 1)
/SUM(holiday_non_holiday_sales[total_sales])</f>
        <v>7.5001206362263942E-2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AF9E-9F52-491F-B104-FE08D015D41C}">
  <dimension ref="A1"/>
  <sheetViews>
    <sheetView showGridLines="0" workbookViewId="0">
      <selection activeCell="C4" sqref="C4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10F3D3-F0E4-4B24-A8F9-38519D9F2A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monthly_sales</vt:lpstr>
      <vt:lpstr>holiday_non_holiday_sales</vt:lpstr>
      <vt:lpstr>sales_by_store</vt:lpstr>
      <vt:lpstr>KPI_summary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chintu</dc:creator>
  <cp:lastModifiedBy>v chintu</cp:lastModifiedBy>
  <dcterms:created xsi:type="dcterms:W3CDTF">2026-01-29T05:50:02Z</dcterms:created>
  <dcterms:modified xsi:type="dcterms:W3CDTF">2026-01-29T06:16:09Z</dcterms:modified>
</cp:coreProperties>
</file>